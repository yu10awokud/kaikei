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awamuramasahiro/Documents/KPUM メニュー:予約/"/>
    </mc:Choice>
  </mc:AlternateContent>
  <xr:revisionPtr revIDLastSave="0" documentId="8_{AE8D6415-DAAE-BB4A-92ED-21EA659D0040}" xr6:coauthVersionLast="47" xr6:coauthVersionMax="47" xr10:uidLastSave="{00000000-0000-0000-0000-000000000000}"/>
  <bookViews>
    <workbookView xWindow="0" yWindow="740" windowWidth="29400" windowHeight="17300" xr2:uid="{697381E0-81C1-9843-A5C0-CD8FBB750E6F}"/>
  </bookViews>
  <sheets>
    <sheet name="テンプレート" sheetId="1" r:id="rId1"/>
    <sheet name="xx" sheetId="2" state="hidden" r:id="rId2"/>
  </sheets>
  <definedNames>
    <definedName name="_xlnm.Print_Area" localSheetId="0">テンプレート!$A$2:$AM$34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3" i="1" l="1" a="1"/>
  <c r="AL33" i="1" s="1"/>
  <c r="AL32" i="1" a="1"/>
  <c r="AL32" i="1" s="1"/>
  <c r="AL31" i="1" a="1"/>
  <c r="AL31" i="1" s="1"/>
  <c r="T19" i="1"/>
  <c r="B7" i="1"/>
  <c r="D7" i="1"/>
  <c r="I7" i="1"/>
  <c r="K7" i="1"/>
  <c r="N7" i="1"/>
  <c r="T7" i="1"/>
  <c r="V7" i="1"/>
  <c r="Y7" i="1"/>
  <c r="AE7" i="1"/>
  <c r="AG7" i="1"/>
  <c r="AJ7" i="1"/>
  <c r="AN7" i="1"/>
  <c r="AO7" i="1"/>
  <c r="AP7" i="1"/>
  <c r="B8" i="1"/>
  <c r="D8" i="1"/>
  <c r="I8" i="1"/>
  <c r="K8" i="1"/>
  <c r="N8" i="1"/>
  <c r="T8" i="1"/>
  <c r="V8" i="1"/>
  <c r="Y8" i="1"/>
  <c r="AE8" i="1"/>
  <c r="AG8" i="1"/>
  <c r="AJ8" i="1"/>
  <c r="AN8" i="1"/>
  <c r="AO8" i="1"/>
  <c r="AP8" i="1"/>
  <c r="B9" i="1"/>
  <c r="D9" i="1"/>
  <c r="I9" i="1"/>
  <c r="K9" i="1"/>
  <c r="N9" i="1"/>
  <c r="T9" i="1"/>
  <c r="V9" i="1"/>
  <c r="Y9" i="1"/>
  <c r="AE9" i="1"/>
  <c r="AG9" i="1"/>
  <c r="AJ9" i="1"/>
  <c r="AN9" i="1"/>
  <c r="AO9" i="1"/>
  <c r="AP9" i="1"/>
  <c r="B10" i="1"/>
  <c r="D10" i="1"/>
  <c r="I10" i="1"/>
  <c r="K10" i="1"/>
  <c r="N10" i="1"/>
  <c r="T10" i="1"/>
  <c r="V10" i="1"/>
  <c r="Y10" i="1"/>
  <c r="AE10" i="1"/>
  <c r="AG10" i="1"/>
  <c r="AJ10" i="1"/>
  <c r="AN10" i="1"/>
  <c r="AO10" i="1"/>
  <c r="AP10" i="1"/>
  <c r="B11" i="1"/>
  <c r="D11" i="1"/>
  <c r="I11" i="1"/>
  <c r="K11" i="1"/>
  <c r="N11" i="1"/>
  <c r="T11" i="1"/>
  <c r="V11" i="1"/>
  <c r="Y11" i="1"/>
  <c r="AE11" i="1"/>
  <c r="AG11" i="1"/>
  <c r="AJ11" i="1"/>
  <c r="AN11" i="1"/>
  <c r="AO11" i="1"/>
  <c r="AP11" i="1"/>
  <c r="B12" i="1"/>
  <c r="D12" i="1"/>
  <c r="I12" i="1"/>
  <c r="K12" i="1"/>
  <c r="N12" i="1"/>
  <c r="T12" i="1"/>
  <c r="V12" i="1"/>
  <c r="Y12" i="1"/>
  <c r="AE12" i="1"/>
  <c r="AG12" i="1"/>
  <c r="AJ12" i="1"/>
  <c r="AN12" i="1"/>
  <c r="AO12" i="1"/>
  <c r="AP12" i="1"/>
  <c r="B13" i="1"/>
  <c r="D13" i="1"/>
  <c r="I13" i="1"/>
  <c r="K13" i="1"/>
  <c r="N13" i="1"/>
  <c r="T13" i="1"/>
  <c r="V13" i="1"/>
  <c r="Y13" i="1"/>
  <c r="AE13" i="1"/>
  <c r="AG13" i="1"/>
  <c r="AJ13" i="1"/>
  <c r="AN13" i="1"/>
  <c r="AO13" i="1"/>
  <c r="AP13" i="1"/>
  <c r="B14" i="1"/>
  <c r="D14" i="1"/>
  <c r="I14" i="1"/>
  <c r="K14" i="1"/>
  <c r="N14" i="1"/>
  <c r="T14" i="1"/>
  <c r="V14" i="1"/>
  <c r="Y14" i="1"/>
  <c r="AE14" i="1"/>
  <c r="AG14" i="1"/>
  <c r="AJ14" i="1"/>
  <c r="AN14" i="1"/>
  <c r="AO14" i="1"/>
  <c r="AP14" i="1"/>
  <c r="B15" i="1"/>
  <c r="D15" i="1"/>
  <c r="I15" i="1"/>
  <c r="K15" i="1"/>
  <c r="N15" i="1"/>
  <c r="T15" i="1"/>
  <c r="V15" i="1"/>
  <c r="Y15" i="1"/>
  <c r="AE15" i="1"/>
  <c r="AG15" i="1"/>
  <c r="AJ15" i="1"/>
  <c r="AN15" i="1"/>
  <c r="AO15" i="1"/>
  <c r="AP15" i="1"/>
  <c r="B16" i="1"/>
  <c r="D16" i="1"/>
  <c r="I16" i="1"/>
  <c r="K16" i="1"/>
  <c r="N16" i="1"/>
  <c r="T16" i="1"/>
  <c r="V16" i="1"/>
  <c r="Y16" i="1"/>
  <c r="AE16" i="1"/>
  <c r="AG16" i="1"/>
  <c r="AJ16" i="1"/>
  <c r="AN16" i="1"/>
  <c r="AO16" i="1"/>
  <c r="AP16" i="1"/>
  <c r="B17" i="1"/>
  <c r="D17" i="1"/>
  <c r="I17" i="1"/>
  <c r="K17" i="1"/>
  <c r="N17" i="1"/>
  <c r="T17" i="1"/>
  <c r="V17" i="1"/>
  <c r="Y17" i="1"/>
  <c r="AE17" i="1"/>
  <c r="AG17" i="1"/>
  <c r="AJ17" i="1"/>
  <c r="AN17" i="1"/>
  <c r="AO17" i="1"/>
  <c r="AP17" i="1"/>
  <c r="B18" i="1"/>
  <c r="D18" i="1"/>
  <c r="I18" i="1"/>
  <c r="K18" i="1"/>
  <c r="N18" i="1"/>
  <c r="T18" i="1"/>
  <c r="V18" i="1"/>
  <c r="Y18" i="1"/>
  <c r="AE18" i="1"/>
  <c r="AG18" i="1"/>
  <c r="AJ18" i="1"/>
  <c r="AN18" i="1"/>
  <c r="AO18" i="1"/>
  <c r="AP18" i="1"/>
  <c r="B19" i="1"/>
  <c r="D19" i="1"/>
  <c r="I19" i="1"/>
  <c r="K19" i="1"/>
  <c r="N19" i="1"/>
  <c r="V19" i="1"/>
  <c r="Y19" i="1"/>
  <c r="AE19" i="1"/>
  <c r="AG19" i="1"/>
  <c r="AJ19" i="1"/>
  <c r="AN19" i="1"/>
  <c r="AO19" i="1"/>
  <c r="AP19" i="1"/>
  <c r="B20" i="1"/>
  <c r="D20" i="1"/>
  <c r="I20" i="1"/>
  <c r="K20" i="1"/>
  <c r="N20" i="1"/>
  <c r="T20" i="1"/>
  <c r="V20" i="1"/>
  <c r="Y20" i="1"/>
  <c r="AE20" i="1"/>
  <c r="AG20" i="1"/>
  <c r="AJ20" i="1"/>
  <c r="AN20" i="1"/>
  <c r="AO20" i="1"/>
  <c r="AP20" i="1"/>
  <c r="B21" i="1"/>
  <c r="D21" i="1"/>
  <c r="I21" i="1"/>
  <c r="K21" i="1"/>
  <c r="N21" i="1"/>
  <c r="T21" i="1"/>
  <c r="V21" i="1"/>
  <c r="Y21" i="1"/>
  <c r="AE21" i="1"/>
  <c r="AG21" i="1"/>
  <c r="AJ21" i="1"/>
  <c r="AN21" i="1"/>
  <c r="AO21" i="1"/>
  <c r="AP21" i="1"/>
  <c r="B22" i="1"/>
  <c r="D22" i="1"/>
  <c r="I22" i="1"/>
  <c r="K22" i="1"/>
  <c r="N22" i="1"/>
  <c r="T22" i="1"/>
  <c r="V22" i="1"/>
  <c r="Y22" i="1"/>
  <c r="AE22" i="1"/>
  <c r="AG22" i="1"/>
  <c r="AJ22" i="1"/>
  <c r="AN22" i="1"/>
  <c r="AO22" i="1"/>
  <c r="AP22" i="1"/>
  <c r="B23" i="1"/>
  <c r="D23" i="1"/>
  <c r="I23" i="1"/>
  <c r="K23" i="1"/>
  <c r="N23" i="1"/>
  <c r="T23" i="1"/>
  <c r="V23" i="1"/>
  <c r="Y23" i="1"/>
  <c r="AE23" i="1"/>
  <c r="AG23" i="1"/>
  <c r="AJ23" i="1"/>
  <c r="AN23" i="1"/>
  <c r="AO23" i="1"/>
  <c r="AP23" i="1"/>
  <c r="B24" i="1"/>
  <c r="D24" i="1"/>
  <c r="I24" i="1"/>
  <c r="K24" i="1"/>
  <c r="N24" i="1"/>
  <c r="T24" i="1"/>
  <c r="V24" i="1"/>
  <c r="Y24" i="1"/>
  <c r="AE24" i="1"/>
  <c r="AG24" i="1"/>
  <c r="AJ24" i="1"/>
  <c r="AN24" i="1"/>
  <c r="AO24" i="1"/>
  <c r="AP24" i="1"/>
  <c r="B25" i="1"/>
  <c r="D25" i="1"/>
  <c r="I25" i="1"/>
  <c r="K25" i="1"/>
  <c r="N25" i="1"/>
  <c r="T25" i="1"/>
  <c r="V25" i="1"/>
  <c r="Y25" i="1"/>
  <c r="AE25" i="1"/>
  <c r="AG25" i="1"/>
  <c r="AJ25" i="1"/>
  <c r="AN25" i="1"/>
  <c r="AO25" i="1"/>
  <c r="AP25" i="1"/>
  <c r="B26" i="1"/>
  <c r="D26" i="1"/>
  <c r="I26" i="1"/>
  <c r="K26" i="1"/>
  <c r="N26" i="1"/>
  <c r="T26" i="1"/>
  <c r="V26" i="1"/>
  <c r="Y26" i="1"/>
  <c r="AE26" i="1"/>
  <c r="AG26" i="1"/>
  <c r="AJ26" i="1"/>
  <c r="AN26" i="1"/>
  <c r="AO26" i="1"/>
  <c r="AP26" i="1"/>
  <c r="B27" i="1"/>
  <c r="D27" i="1"/>
  <c r="I27" i="1"/>
  <c r="K27" i="1"/>
  <c r="N27" i="1"/>
  <c r="T27" i="1"/>
  <c r="V27" i="1"/>
  <c r="Y27" i="1"/>
  <c r="AE27" i="1"/>
  <c r="AG27" i="1"/>
  <c r="AJ27" i="1"/>
  <c r="AN27" i="1"/>
  <c r="AO27" i="1"/>
  <c r="AP27" i="1"/>
  <c r="E2" i="2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AP6" i="1"/>
  <c r="AO6" i="1"/>
  <c r="AN6" i="1"/>
  <c r="I6" i="1"/>
  <c r="R2" i="1" l="1"/>
  <c r="O2" i="1"/>
  <c r="AP5" i="1"/>
  <c r="AO5" i="1"/>
  <c r="D6" i="1" l="1"/>
  <c r="B6" i="1"/>
  <c r="N6" i="1"/>
  <c r="AJ6" i="1"/>
  <c r="AG6" i="1"/>
  <c r="AE6" i="1"/>
  <c r="Y6" i="1"/>
  <c r="V6" i="1"/>
  <c r="T6" i="1"/>
  <c r="K6" i="1"/>
  <c r="AN5" i="1" l="1"/>
  <c r="AN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<sst xmlns="http://schemas.openxmlformats.org/spreadsheetml/2006/main" count="43" uniqueCount="36">
  <si>
    <t>規定練</t>
    <rPh sb="0" eb="3">
      <t>キテイ</t>
    </rPh>
    <phoneticPr fontId="1"/>
  </si>
  <si>
    <t>A</t>
    <phoneticPr fontId="1"/>
  </si>
  <si>
    <t>B</t>
    <phoneticPr fontId="1"/>
  </si>
  <si>
    <t>C</t>
    <phoneticPr fontId="1"/>
  </si>
  <si>
    <t>Total</t>
    <phoneticPr fontId="1"/>
  </si>
  <si>
    <t>自主練</t>
    <rPh sb="0" eb="3">
      <t>ジセィウ</t>
    </rPh>
    <phoneticPr fontId="1"/>
  </si>
  <si>
    <t>イリアス</t>
    <phoneticPr fontId="1"/>
  </si>
  <si>
    <t>アクオン</t>
    <phoneticPr fontId="1"/>
  </si>
  <si>
    <t>＠</t>
    <phoneticPr fontId="1"/>
  </si>
  <si>
    <t>ピノス</t>
    <phoneticPr fontId="1"/>
  </si>
  <si>
    <t>8:30~10:00</t>
    <phoneticPr fontId="1"/>
  </si>
  <si>
    <t>18:45~20:45</t>
    <phoneticPr fontId="1"/>
  </si>
  <si>
    <t>19:00~20:30</t>
    <phoneticPr fontId="1"/>
  </si>
  <si>
    <t>場所</t>
    <rPh sb="0" eb="2">
      <t>バセィオ</t>
    </rPh>
    <phoneticPr fontId="1"/>
  </si>
  <si>
    <t>M</t>
    <phoneticPr fontId="1"/>
  </si>
  <si>
    <t>7:30~9:10</t>
    <phoneticPr fontId="1"/>
  </si>
  <si>
    <t>踏水会</t>
    <phoneticPr fontId="1"/>
  </si>
  <si>
    <t>アクアリーナ</t>
    <phoneticPr fontId="1"/>
  </si>
  <si>
    <t>Drill</t>
    <phoneticPr fontId="1"/>
  </si>
  <si>
    <t>Swim</t>
    <phoneticPr fontId="1"/>
  </si>
  <si>
    <t>Kick</t>
    <phoneticPr fontId="1"/>
  </si>
  <si>
    <t>Pull</t>
    <phoneticPr fontId="1"/>
  </si>
  <si>
    <t>W-up</t>
    <phoneticPr fontId="1"/>
  </si>
  <si>
    <t>日付</t>
    <rPh sb="0" eb="2">
      <t>ヒズケ</t>
    </rPh>
    <phoneticPr fontId="1"/>
  </si>
  <si>
    <t>伏見港</t>
    <rPh sb="0" eb="3">
      <t>フシミ</t>
    </rPh>
    <phoneticPr fontId="1"/>
  </si>
  <si>
    <t>規定練</t>
    <rPh sb="0" eb="1">
      <t>キテイ</t>
    </rPh>
    <phoneticPr fontId="1"/>
  </si>
  <si>
    <t>12:35~13:25</t>
    <phoneticPr fontId="1"/>
  </si>
  <si>
    <t>ルネサンス</t>
    <phoneticPr fontId="1"/>
  </si>
  <si>
    <t>Main</t>
    <phoneticPr fontId="1"/>
  </si>
  <si>
    <t>Down</t>
    <phoneticPr fontId="1"/>
  </si>
  <si>
    <t>Easy</t>
    <phoneticPr fontId="1"/>
  </si>
  <si>
    <t>○</t>
    <phoneticPr fontId="1"/>
  </si>
  <si>
    <t>☆</t>
    <phoneticPr fontId="1"/>
  </si>
  <si>
    <t>19:00~20:05</t>
    <phoneticPr fontId="1"/>
  </si>
  <si>
    <t>7:30~9:20</t>
    <phoneticPr fontId="1"/>
  </si>
  <si>
    <t>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</si>
</sst>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h&quot;'&quot;mm&quot;”&quot;"/>
    <numFmt numFmtId="177" formatCode="0&quot;’&quot;00&quot;”&quot;"/>
    <numFmt numFmtId="178" formatCode="yyyy/m/dd\ \(aaa\)"/>
    <numFmt numFmtId="179" formatCode="yyyy/m/d\(aaa\)"/>
    <numFmt numFmtId="180" formatCode="m&quot;’&quot;ss&quot;”&quot;"/>
  </numFmts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  <font>
      <b/>
      <u/>
      <sz val="12"/>
      <color rgb="FFFF000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</font>
    <font>
      <sz val="12"/>
      <color theme="4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79" fontId="3" fillId="0" borderId="1" xfId="0" applyNumberFormat="1" applyFont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</cellXfs>
  <cellStyles count="1">
    <cellStyle name="標準" xfId="0" builtinId="0"/>
  </cellStyles>
  <dxfs count="3">
    <dxf>
      <font>
        <strike val="0"/>
        <u val="none"/>
        <color theme="0"/>
      </font>
    </dxf>
    <dxf>
      <font>
        <strike val="0"/>
        <u val="none"/>
        <color theme="0"/>
      </font>
    </dxf>
    <dxf>
      <font>
        <strike val="0"/>
        <u val="none"/>
        <color theme="0"/>
      </font>
    </dxf>
  </dxfs>
  <tableStyles count="0" defaultTableStyle="TableStyleMedium2" defaultPivotStyle="PivotStyleLight16"/>
  <colors>
    <mruColors>
      <color rgb="FFE3E3E3"/>
      <color rgb="FFFFE2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1151-2624-8644-94D3-55A3BA63F125}">
  <sheetPr codeName="Sheet1">
    <pageSetUpPr fitToPage="1"/>
  </sheetPr>
  <dimension ref="A1:AP34"/>
  <sheetViews>
    <sheetView tabSelected="1" zoomScale="90" zoomScaleNormal="90" workbookViewId="0">
      <selection activeCell="H6" sqref="H6"/>
    </sheetView>
  </sheetViews>
  <sheetFormatPr baseColWidth="10" defaultColWidth="10.7109375" defaultRowHeight="20"/>
  <cols>
    <col min="1" max="1" width="7.28515625" style="5" customWidth="1"/>
    <col min="2" max="2" width="0.85546875" style="5" customWidth="1"/>
    <col min="3" max="3" width="7" style="5" customWidth="1"/>
    <col min="4" max="4" width="0.85546875" style="5" customWidth="1"/>
    <col min="5" max="5" width="1.28515625" style="5" customWidth="1"/>
    <col min="6" max="6" width="3.5703125" style="5" customWidth="1"/>
    <col min="7" max="7" width="1" style="5" customWidth="1"/>
    <col min="8" max="8" width="3.7109375" style="5" customWidth="1"/>
    <col min="9" max="9" width="1.85546875" style="5" customWidth="1"/>
    <col min="10" max="10" width="2.7109375" style="5" customWidth="1"/>
    <col min="11" max="11" width="1.85546875" style="5" customWidth="1"/>
    <col min="12" max="12" width="2.140625" style="5" customWidth="1"/>
    <col min="13" max="13" width="1.42578125" style="5" customWidth="1"/>
    <col min="14" max="14" width="3" style="6" customWidth="1"/>
    <col min="15" max="15" width="6" style="7" customWidth="1"/>
    <col min="16" max="16" width="0.85546875" style="5" customWidth="1"/>
    <col min="17" max="17" width="22.85546875" style="5" customWidth="1"/>
    <col min="18" max="18" width="2.5703125" style="5" customWidth="1"/>
    <col min="19" max="19" width="3.7109375" style="5" customWidth="1"/>
    <col min="20" max="20" width="1.85546875" style="5" customWidth="1"/>
    <col min="21" max="21" width="2.7109375" style="5" customWidth="1"/>
    <col min="22" max="22" width="1.85546875" style="5" customWidth="1"/>
    <col min="23" max="23" width="2.140625" style="5" customWidth="1"/>
    <col min="24" max="24" width="1.42578125" style="5" customWidth="1"/>
    <col min="25" max="25" width="3" style="5" customWidth="1"/>
    <col min="26" max="26" width="6" style="5" customWidth="1"/>
    <col min="27" max="27" width="0.85546875" style="5" customWidth="1"/>
    <col min="28" max="28" width="22.85546875" style="5" customWidth="1"/>
    <col min="29" max="29" width="2.5703125" style="5" customWidth="1"/>
    <col min="30" max="30" width="3.7109375" style="5" customWidth="1"/>
    <col min="31" max="31" width="1.85546875" style="5" customWidth="1"/>
    <col min="32" max="32" width="2.7109375" style="5" customWidth="1"/>
    <col min="33" max="33" width="1.85546875" style="5" customWidth="1"/>
    <col min="34" max="34" width="2.140625" style="5" customWidth="1"/>
    <col min="35" max="35" width="1.42578125" style="5" customWidth="1"/>
    <col min="36" max="36" width="3" style="5" customWidth="1"/>
    <col min="37" max="37" width="6" style="5" customWidth="1"/>
    <col min="38" max="38" width="0.85546875" style="5" customWidth="1"/>
    <col min="39" max="39" width="22.85546875" style="5" customWidth="1"/>
    <col min="40" max="42" width="7.42578125" style="5" customWidth="1"/>
    <col min="43" max="16384" width="10.7109375" style="5"/>
  </cols>
  <sheetData>
    <row r="1" spans="1:42" ht="14" customHeight="1"/>
    <row r="2" spans="1:42" s="11" customFormat="1" ht="26" customHeight="1">
      <c r="A2" s="8"/>
      <c r="B2" s="8"/>
      <c r="C2" s="48" t="s">
        <v>23</v>
      </c>
      <c r="D2" s="48"/>
      <c r="E2" s="48"/>
      <c r="F2" s="48"/>
      <c r="G2" s="48"/>
      <c r="H2" s="48"/>
      <c r="I2" s="48"/>
      <c r="J2" s="48"/>
      <c r="K2" s="48"/>
      <c r="L2" s="48"/>
      <c r="M2" s="54"/>
      <c r="N2" s="9"/>
      <c r="O2" s="50" t="str">
        <f>IF(AB2="場所","",VLOOKUP(AB2,xx!B2:D8,2,FALSE))</f>
        <v/>
      </c>
      <c r="P2" s="50"/>
      <c r="Q2" s="50"/>
      <c r="R2" s="54" t="str">
        <f>IF(AB2="場所","",VLOOKUP(AB2,xx!B2:D8,3,FALSE))</f>
        <v/>
      </c>
      <c r="S2" s="54"/>
      <c r="T2" s="54"/>
      <c r="U2" s="54"/>
      <c r="V2" s="54"/>
      <c r="W2" s="54"/>
      <c r="X2" s="54"/>
      <c r="Y2" s="56" t="s">
        <v>8</v>
      </c>
      <c r="Z2" s="56"/>
      <c r="AA2" s="10"/>
      <c r="AB2" s="50" t="s">
        <v>13</v>
      </c>
      <c r="AC2" s="50"/>
      <c r="AD2" s="50"/>
      <c r="AE2" s="50"/>
      <c r="AF2" s="54"/>
      <c r="AG2" s="54"/>
      <c r="AH2" s="54"/>
      <c r="AI2" s="54"/>
      <c r="AJ2" s="54"/>
      <c r="AK2" s="54"/>
      <c r="AL2" s="54"/>
      <c r="AM2" s="54"/>
    </row>
    <row r="3" spans="1:42" s="11" customFormat="1" ht="26" customHeight="1">
      <c r="A3" s="12"/>
      <c r="B3" s="12"/>
      <c r="C3" s="49"/>
      <c r="D3" s="49"/>
      <c r="E3" s="49"/>
      <c r="F3" s="49"/>
      <c r="G3" s="49"/>
      <c r="H3" s="49"/>
      <c r="I3" s="49"/>
      <c r="J3" s="49"/>
      <c r="K3" s="49"/>
      <c r="L3" s="49"/>
      <c r="M3" s="55"/>
      <c r="N3" s="13"/>
      <c r="O3" s="51"/>
      <c r="P3" s="51"/>
      <c r="Q3" s="51"/>
      <c r="R3" s="55"/>
      <c r="S3" s="55"/>
      <c r="T3" s="55"/>
      <c r="U3" s="55"/>
      <c r="V3" s="55"/>
      <c r="W3" s="55"/>
      <c r="X3" s="55"/>
      <c r="Y3" s="57"/>
      <c r="Z3" s="57"/>
      <c r="AA3" s="14"/>
      <c r="AB3" s="51"/>
      <c r="AC3" s="51"/>
      <c r="AD3" s="51"/>
      <c r="AE3" s="51"/>
      <c r="AF3" s="55"/>
      <c r="AG3" s="55"/>
      <c r="AH3" s="55"/>
      <c r="AI3" s="55"/>
      <c r="AJ3" s="55"/>
      <c r="AK3" s="55"/>
      <c r="AL3" s="55"/>
      <c r="AM3" s="55"/>
    </row>
    <row r="4" spans="1:4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9"/>
      <c r="O4" s="30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36" t="str">
        <f>IF(AN6&lt;&gt;"","時間補助欄","")</f>
        <v/>
      </c>
      <c r="AO4" s="36"/>
      <c r="AP4" s="36"/>
    </row>
    <row r="5" spans="1:42">
      <c r="A5" s="15"/>
      <c r="B5" s="15"/>
      <c r="C5" s="15"/>
      <c r="D5" s="15"/>
      <c r="E5" s="16"/>
      <c r="F5" s="15" t="s">
        <v>14</v>
      </c>
      <c r="G5" s="15"/>
      <c r="H5" s="15" t="s">
        <v>1</v>
      </c>
      <c r="I5" s="15"/>
      <c r="J5" s="15"/>
      <c r="K5" s="15"/>
      <c r="L5" s="15"/>
      <c r="M5" s="15"/>
      <c r="N5" s="17"/>
      <c r="O5" s="18"/>
      <c r="P5" s="15"/>
      <c r="Q5" s="15"/>
      <c r="R5" s="15"/>
      <c r="S5" s="15" t="s">
        <v>2</v>
      </c>
      <c r="T5" s="15"/>
      <c r="U5" s="15"/>
      <c r="V5" s="15"/>
      <c r="W5" s="15"/>
      <c r="X5" s="15"/>
      <c r="Y5" s="15"/>
      <c r="Z5" s="15"/>
      <c r="AA5" s="15"/>
      <c r="AB5" s="15"/>
      <c r="AC5" s="15"/>
      <c r="AD5" s="15" t="s">
        <v>3</v>
      </c>
      <c r="AE5" s="15"/>
      <c r="AF5" s="15"/>
      <c r="AG5" s="15"/>
      <c r="AH5" s="15"/>
      <c r="AI5" s="15"/>
      <c r="AJ5" s="15"/>
      <c r="AK5" s="15"/>
      <c r="AL5" s="15"/>
      <c r="AM5" s="15"/>
      <c r="AN5" s="32" t="str">
        <f>IF(AN6&lt;&gt;"","A","")</f>
        <v/>
      </c>
      <c r="AO5" s="32" t="str">
        <f>IF(AO6&lt;&gt;"","B","")</f>
        <v/>
      </c>
      <c r="AP5" s="32" t="str">
        <f>IF(AP6&lt;&gt;"","C","")</f>
        <v/>
      </c>
    </row>
    <row r="6" spans="1:42">
      <c r="B6" s="1" t="str">
        <f>IF(C6&lt;&gt;"","(","")</f>
        <v/>
      </c>
      <c r="C6" s="31"/>
      <c r="D6" s="1" t="str">
        <f>IF(C6&lt;&gt;"",")","")</f>
        <v/>
      </c>
      <c r="E6" s="2"/>
      <c r="G6" s="1"/>
      <c r="H6" s="6"/>
      <c r="I6" s="1" t="str">
        <f t="shared" ref="I6" si="0">IF(H6&lt;&gt;"","×","")</f>
        <v/>
      </c>
      <c r="K6" s="1" t="str">
        <f>IF(L6&gt;1,"×","")</f>
        <v/>
      </c>
      <c r="M6" s="1"/>
      <c r="N6" s="3" t="str">
        <f>IF(H6&lt;&gt;"","on","")</f>
        <v/>
      </c>
      <c r="O6" s="19"/>
      <c r="P6" s="1"/>
      <c r="Q6" s="20"/>
      <c r="R6" s="1"/>
      <c r="S6" s="6"/>
      <c r="T6" s="1" t="str">
        <f>IF(S6&lt;&gt;"","×","")</f>
        <v/>
      </c>
      <c r="V6" s="1" t="str">
        <f>IF(W6&gt;1,"×","")</f>
        <v/>
      </c>
      <c r="X6" s="1"/>
      <c r="Y6" s="3" t="str">
        <f>IF(S6&lt;&gt;"","on","")</f>
        <v/>
      </c>
      <c r="Z6" s="19"/>
      <c r="AA6" s="1"/>
      <c r="AB6" s="7"/>
      <c r="AC6" s="1"/>
      <c r="AD6" s="6"/>
      <c r="AE6" s="1" t="str">
        <f>IF(AD6&lt;&gt;"","×","")</f>
        <v/>
      </c>
      <c r="AG6" s="1" t="str">
        <f>IF(AH6&gt;1,"×","")</f>
        <v/>
      </c>
      <c r="AI6" s="1"/>
      <c r="AJ6" s="3" t="str">
        <f>IF(AD6&lt;&gt;"","on","")</f>
        <v/>
      </c>
      <c r="AK6" s="19"/>
      <c r="AL6" s="4"/>
      <c r="AM6" s="21"/>
      <c r="AN6" s="33" t="str">
        <f>IF(O6&lt;&gt;"",TIME(0, INT(O6/100), MOD(O6,100))*MAX(J6,1)*MAX(L6,1),"")</f>
        <v/>
      </c>
      <c r="AO6" s="33" t="str">
        <f>IF(Z6&lt;&gt;"",TIME(0, INT(Z6/100), MOD(Z6,100))*MAX(U6,1)*MAX(W6,1),"")</f>
        <v/>
      </c>
      <c r="AP6" s="33" t="str">
        <f>IF(AK6&lt;&gt;"",TIME(0, INT(AK6/100), MOD(AK6,100))*MAX(AF6,1)*MAX(AH6,1),"")</f>
        <v/>
      </c>
    </row>
    <row r="7" spans="1:42">
      <c r="B7" s="1" t="str">
        <f t="shared" ref="B7:B27" si="1">IF(C7&lt;&gt;"","(","")</f>
        <v/>
      </c>
      <c r="C7" s="31"/>
      <c r="D7" s="1" t="str">
        <f t="shared" ref="D7:D27" si="2">IF(C7&lt;&gt;"",")","")</f>
        <v/>
      </c>
      <c r="E7" s="2"/>
      <c r="G7" s="1"/>
      <c r="H7" s="6"/>
      <c r="I7" s="1" t="str">
        <f t="shared" ref="I7:I27" si="3">IF(H7&lt;&gt;"","×","")</f>
        <v/>
      </c>
      <c r="K7" s="1" t="str">
        <f t="shared" ref="K7:K27" si="4">IF(L7&gt;1,"×","")</f>
        <v/>
      </c>
      <c r="M7" s="1"/>
      <c r="N7" s="3" t="str">
        <f t="shared" ref="N7:N27" si="5">IF(H7&lt;&gt;"","on","")</f>
        <v/>
      </c>
      <c r="O7" s="19"/>
      <c r="P7" s="1"/>
      <c r="Q7" s="20"/>
      <c r="R7" s="1"/>
      <c r="S7" s="6"/>
      <c r="T7" s="1" t="str">
        <f t="shared" ref="T7:T27" si="6">IF(S7&lt;&gt;"","×","")</f>
        <v/>
      </c>
      <c r="V7" s="1" t="str">
        <f t="shared" ref="V7:V27" si="7">IF(W7&gt;1,"×","")</f>
        <v/>
      </c>
      <c r="X7" s="1"/>
      <c r="Y7" s="3" t="str">
        <f t="shared" ref="Y7:Y27" si="8">IF(S7&lt;&gt;"","on","")</f>
        <v/>
      </c>
      <c r="Z7" s="19"/>
      <c r="AA7" s="1"/>
      <c r="AB7" s="7"/>
      <c r="AC7" s="1"/>
      <c r="AD7" s="6"/>
      <c r="AE7" s="1" t="str">
        <f t="shared" ref="AE7:AE27" si="9">IF(AD7&lt;&gt;"","×","")</f>
        <v/>
      </c>
      <c r="AG7" s="1" t="str">
        <f t="shared" ref="AG7:AG27" si="10">IF(AH7&gt;1,"×","")</f>
        <v/>
      </c>
      <c r="AI7" s="1"/>
      <c r="AJ7" s="3" t="str">
        <f t="shared" ref="AJ7:AJ27" si="11">IF(AD7&lt;&gt;"","on","")</f>
        <v/>
      </c>
      <c r="AK7" s="19"/>
      <c r="AL7" s="4"/>
      <c r="AM7" s="21"/>
      <c r="AN7" s="33" t="str">
        <f t="shared" ref="AN7:AN27" si="12">IF(O7&lt;&gt;"",TIME(0, INT(O7/100), MOD(O7,100))*MAX(J7,1)*MAX(L7,1),"")</f>
        <v/>
      </c>
      <c r="AO7" s="33" t="str">
        <f t="shared" ref="AO7:AO27" si="13">IF(Z7&lt;&gt;"",TIME(0, INT(Z7/100), MOD(Z7,100))*MAX(U7,1)*MAX(W7,1),"")</f>
        <v/>
      </c>
      <c r="AP7" s="33" t="str">
        <f t="shared" ref="AP7:AP27" si="14">IF(AK7&lt;&gt;"",TIME(0, INT(AK7/100), MOD(AK7,100))*MAX(AF7,1)*MAX(AH7,1),"")</f>
        <v/>
      </c>
    </row>
    <row r="8" spans="1:42">
      <c r="B8" s="1" t="str">
        <f t="shared" si="1"/>
        <v/>
      </c>
      <c r="C8" s="31"/>
      <c r="D8" s="1" t="str">
        <f t="shared" si="2"/>
        <v/>
      </c>
      <c r="E8" s="2"/>
      <c r="G8" s="1"/>
      <c r="H8" s="6"/>
      <c r="I8" s="1" t="str">
        <f t="shared" si="3"/>
        <v/>
      </c>
      <c r="K8" s="1" t="str">
        <f t="shared" si="4"/>
        <v/>
      </c>
      <c r="M8" s="1"/>
      <c r="N8" s="3" t="str">
        <f t="shared" si="5"/>
        <v/>
      </c>
      <c r="O8" s="19"/>
      <c r="P8" s="1"/>
      <c r="Q8" s="20"/>
      <c r="R8" s="1"/>
      <c r="S8" s="6"/>
      <c r="T8" s="1" t="str">
        <f t="shared" si="6"/>
        <v/>
      </c>
      <c r="V8" s="1" t="str">
        <f t="shared" si="7"/>
        <v/>
      </c>
      <c r="X8" s="1"/>
      <c r="Y8" s="3" t="str">
        <f t="shared" si="8"/>
        <v/>
      </c>
      <c r="Z8" s="19"/>
      <c r="AA8" s="1"/>
      <c r="AB8" s="7"/>
      <c r="AC8" s="1"/>
      <c r="AD8" s="6"/>
      <c r="AE8" s="1" t="str">
        <f t="shared" si="9"/>
        <v/>
      </c>
      <c r="AG8" s="1" t="str">
        <f t="shared" si="10"/>
        <v/>
      </c>
      <c r="AI8" s="1"/>
      <c r="AJ8" s="3" t="str">
        <f t="shared" si="11"/>
        <v/>
      </c>
      <c r="AK8" s="19"/>
      <c r="AL8" s="4"/>
      <c r="AM8" s="21"/>
      <c r="AN8" s="33" t="str">
        <f t="shared" si="12"/>
        <v/>
      </c>
      <c r="AO8" s="33" t="str">
        <f t="shared" si="13"/>
        <v/>
      </c>
      <c r="AP8" s="33" t="str">
        <f t="shared" si="14"/>
        <v/>
      </c>
    </row>
    <row r="9" spans="1:42">
      <c r="B9" s="1" t="str">
        <f t="shared" si="1"/>
        <v/>
      </c>
      <c r="C9" s="31"/>
      <c r="D9" s="1" t="str">
        <f t="shared" si="2"/>
        <v/>
      </c>
      <c r="E9" s="2"/>
      <c r="G9" s="1"/>
      <c r="H9" s="6"/>
      <c r="I9" s="1" t="str">
        <f t="shared" si="3"/>
        <v/>
      </c>
      <c r="K9" s="1" t="str">
        <f t="shared" si="4"/>
        <v/>
      </c>
      <c r="M9" s="1"/>
      <c r="N9" s="3" t="str">
        <f t="shared" si="5"/>
        <v/>
      </c>
      <c r="O9" s="19"/>
      <c r="P9" s="1"/>
      <c r="Q9" s="20"/>
      <c r="R9" s="1"/>
      <c r="S9" s="6"/>
      <c r="T9" s="1" t="str">
        <f t="shared" si="6"/>
        <v/>
      </c>
      <c r="V9" s="1" t="str">
        <f t="shared" si="7"/>
        <v/>
      </c>
      <c r="X9" s="1"/>
      <c r="Y9" s="3" t="str">
        <f t="shared" si="8"/>
        <v/>
      </c>
      <c r="Z9" s="19"/>
      <c r="AA9" s="1"/>
      <c r="AB9" s="7"/>
      <c r="AC9" s="1"/>
      <c r="AD9" s="6"/>
      <c r="AE9" s="1" t="str">
        <f t="shared" si="9"/>
        <v/>
      </c>
      <c r="AG9" s="1" t="str">
        <f t="shared" si="10"/>
        <v/>
      </c>
      <c r="AI9" s="1"/>
      <c r="AJ9" s="3" t="str">
        <f t="shared" si="11"/>
        <v/>
      </c>
      <c r="AK9" s="19"/>
      <c r="AL9" s="4"/>
      <c r="AM9" s="21"/>
      <c r="AN9" s="33" t="str">
        <f t="shared" si="12"/>
        <v/>
      </c>
      <c r="AO9" s="33" t="str">
        <f t="shared" si="13"/>
        <v/>
      </c>
      <c r="AP9" s="33" t="str">
        <f t="shared" si="14"/>
        <v/>
      </c>
    </row>
    <row r="10" spans="1:42">
      <c r="B10" s="1" t="str">
        <f t="shared" si="1"/>
        <v/>
      </c>
      <c r="C10" s="31"/>
      <c r="D10" s="1" t="str">
        <f t="shared" si="2"/>
        <v/>
      </c>
      <c r="E10" s="2"/>
      <c r="G10" s="1"/>
      <c r="H10" s="6"/>
      <c r="I10" s="1" t="str">
        <f t="shared" si="3"/>
        <v/>
      </c>
      <c r="K10" s="1" t="str">
        <f t="shared" si="4"/>
        <v/>
      </c>
      <c r="M10" s="1"/>
      <c r="N10" s="3" t="str">
        <f t="shared" si="5"/>
        <v/>
      </c>
      <c r="O10" s="19"/>
      <c r="P10" s="1"/>
      <c r="Q10" s="20"/>
      <c r="R10" s="1"/>
      <c r="S10" s="6"/>
      <c r="T10" s="1" t="str">
        <f t="shared" si="6"/>
        <v/>
      </c>
      <c r="V10" s="1" t="str">
        <f t="shared" si="7"/>
        <v/>
      </c>
      <c r="X10" s="1"/>
      <c r="Y10" s="3" t="str">
        <f t="shared" si="8"/>
        <v/>
      </c>
      <c r="Z10" s="19"/>
      <c r="AA10" s="1"/>
      <c r="AB10" s="7"/>
      <c r="AC10" s="1"/>
      <c r="AD10" s="6"/>
      <c r="AE10" s="1" t="str">
        <f t="shared" si="9"/>
        <v/>
      </c>
      <c r="AG10" s="1" t="str">
        <f t="shared" si="10"/>
        <v/>
      </c>
      <c r="AI10" s="1"/>
      <c r="AJ10" s="3" t="str">
        <f t="shared" si="11"/>
        <v/>
      </c>
      <c r="AK10" s="19"/>
      <c r="AL10" s="4"/>
      <c r="AM10" s="21"/>
      <c r="AN10" s="33" t="str">
        <f t="shared" si="12"/>
        <v/>
      </c>
      <c r="AO10" s="33" t="str">
        <f t="shared" si="13"/>
        <v/>
      </c>
      <c r="AP10" s="33" t="str">
        <f t="shared" si="14"/>
        <v/>
      </c>
    </row>
    <row r="11" spans="1:42">
      <c r="B11" s="1" t="str">
        <f t="shared" si="1"/>
        <v/>
      </c>
      <c r="C11" s="31"/>
      <c r="D11" s="1" t="str">
        <f t="shared" si="2"/>
        <v/>
      </c>
      <c r="E11" s="2"/>
      <c r="G11" s="1"/>
      <c r="H11" s="6"/>
      <c r="I11" s="1" t="str">
        <f t="shared" si="3"/>
        <v/>
      </c>
      <c r="K11" s="1" t="str">
        <f t="shared" si="4"/>
        <v/>
      </c>
      <c r="M11" s="1"/>
      <c r="N11" s="3" t="str">
        <f t="shared" si="5"/>
        <v/>
      </c>
      <c r="O11" s="19"/>
      <c r="P11" s="1"/>
      <c r="Q11" s="20"/>
      <c r="R11" s="1"/>
      <c r="S11" s="6"/>
      <c r="T11" s="1" t="str">
        <f t="shared" si="6"/>
        <v/>
      </c>
      <c r="V11" s="1" t="str">
        <f t="shared" si="7"/>
        <v/>
      </c>
      <c r="X11" s="1"/>
      <c r="Y11" s="3" t="str">
        <f t="shared" si="8"/>
        <v/>
      </c>
      <c r="Z11" s="19"/>
      <c r="AA11" s="1"/>
      <c r="AB11" s="7"/>
      <c r="AC11" s="1"/>
      <c r="AD11" s="6"/>
      <c r="AE11" s="1" t="str">
        <f t="shared" si="9"/>
        <v/>
      </c>
      <c r="AG11" s="1" t="str">
        <f t="shared" si="10"/>
        <v/>
      </c>
      <c r="AI11" s="1"/>
      <c r="AJ11" s="3" t="str">
        <f t="shared" si="11"/>
        <v/>
      </c>
      <c r="AK11" s="19"/>
      <c r="AL11" s="4"/>
      <c r="AM11" s="21"/>
      <c r="AN11" s="33" t="str">
        <f t="shared" si="12"/>
        <v/>
      </c>
      <c r="AO11" s="33" t="str">
        <f t="shared" si="13"/>
        <v/>
      </c>
      <c r="AP11" s="33" t="str">
        <f t="shared" si="14"/>
        <v/>
      </c>
    </row>
    <row r="12" spans="1:42">
      <c r="B12" s="1" t="str">
        <f t="shared" si="1"/>
        <v/>
      </c>
      <c r="C12" s="31"/>
      <c r="D12" s="1" t="str">
        <f t="shared" si="2"/>
        <v/>
      </c>
      <c r="E12" s="2"/>
      <c r="G12" s="1"/>
      <c r="H12" s="6"/>
      <c r="I12" s="1" t="str">
        <f t="shared" si="3"/>
        <v/>
      </c>
      <c r="K12" s="1" t="str">
        <f t="shared" si="4"/>
        <v/>
      </c>
      <c r="M12" s="1"/>
      <c r="N12" s="3" t="str">
        <f t="shared" si="5"/>
        <v/>
      </c>
      <c r="O12" s="19"/>
      <c r="P12" s="1"/>
      <c r="Q12" s="20"/>
      <c r="R12" s="1"/>
      <c r="S12" s="6"/>
      <c r="T12" s="1" t="str">
        <f t="shared" si="6"/>
        <v/>
      </c>
      <c r="V12" s="1" t="str">
        <f t="shared" si="7"/>
        <v/>
      </c>
      <c r="X12" s="1"/>
      <c r="Y12" s="3" t="str">
        <f t="shared" si="8"/>
        <v/>
      </c>
      <c r="Z12" s="19"/>
      <c r="AA12" s="1"/>
      <c r="AB12" s="7"/>
      <c r="AC12" s="1"/>
      <c r="AD12" s="6"/>
      <c r="AE12" s="1" t="str">
        <f t="shared" si="9"/>
        <v/>
      </c>
      <c r="AG12" s="1" t="str">
        <f t="shared" si="10"/>
        <v/>
      </c>
      <c r="AI12" s="1"/>
      <c r="AJ12" s="3" t="str">
        <f t="shared" si="11"/>
        <v/>
      </c>
      <c r="AK12" s="19"/>
      <c r="AL12" s="4"/>
      <c r="AM12" s="21"/>
      <c r="AN12" s="33" t="str">
        <f t="shared" si="12"/>
        <v/>
      </c>
      <c r="AO12" s="33" t="str">
        <f t="shared" si="13"/>
        <v/>
      </c>
      <c r="AP12" s="33" t="str">
        <f t="shared" si="14"/>
        <v/>
      </c>
    </row>
    <row r="13" spans="1:42">
      <c r="B13" s="1" t="str">
        <f t="shared" si="1"/>
        <v/>
      </c>
      <c r="C13" s="31"/>
      <c r="D13" s="1" t="str">
        <f t="shared" si="2"/>
        <v/>
      </c>
      <c r="E13" s="2"/>
      <c r="G13" s="1"/>
      <c r="H13" s="6"/>
      <c r="I13" s="1" t="str">
        <f t="shared" si="3"/>
        <v/>
      </c>
      <c r="K13" s="1" t="str">
        <f t="shared" si="4"/>
        <v/>
      </c>
      <c r="M13" s="1"/>
      <c r="N13" s="3" t="str">
        <f t="shared" si="5"/>
        <v/>
      </c>
      <c r="O13" s="19"/>
      <c r="P13" s="1"/>
      <c r="Q13" s="20"/>
      <c r="R13" s="1"/>
      <c r="S13" s="6"/>
      <c r="T13" s="1" t="str">
        <f t="shared" si="6"/>
        <v/>
      </c>
      <c r="V13" s="1" t="str">
        <f t="shared" si="7"/>
        <v/>
      </c>
      <c r="X13" s="1"/>
      <c r="Y13" s="3" t="str">
        <f t="shared" si="8"/>
        <v/>
      </c>
      <c r="Z13" s="19"/>
      <c r="AA13" s="1"/>
      <c r="AB13" s="7"/>
      <c r="AC13" s="1"/>
      <c r="AD13" s="6"/>
      <c r="AE13" s="1" t="str">
        <f t="shared" si="9"/>
        <v/>
      </c>
      <c r="AG13" s="1" t="str">
        <f t="shared" si="10"/>
        <v/>
      </c>
      <c r="AI13" s="1"/>
      <c r="AJ13" s="3" t="str">
        <f t="shared" si="11"/>
        <v/>
      </c>
      <c r="AK13" s="19"/>
      <c r="AL13" s="4"/>
      <c r="AM13" s="21"/>
      <c r="AN13" s="33" t="str">
        <f t="shared" si="12"/>
        <v/>
      </c>
      <c r="AO13" s="33" t="str">
        <f t="shared" si="13"/>
        <v/>
      </c>
      <c r="AP13" s="33" t="str">
        <f t="shared" si="14"/>
        <v/>
      </c>
    </row>
    <row r="14" spans="1:42">
      <c r="B14" s="1" t="str">
        <f t="shared" si="1"/>
        <v/>
      </c>
      <c r="C14" s="31"/>
      <c r="D14" s="1" t="str">
        <f t="shared" si="2"/>
        <v/>
      </c>
      <c r="E14" s="2"/>
      <c r="G14" s="1"/>
      <c r="H14" s="6"/>
      <c r="I14" s="1" t="str">
        <f t="shared" si="3"/>
        <v/>
      </c>
      <c r="K14" s="1" t="str">
        <f t="shared" si="4"/>
        <v/>
      </c>
      <c r="M14" s="1"/>
      <c r="N14" s="3" t="str">
        <f t="shared" si="5"/>
        <v/>
      </c>
      <c r="O14" s="19"/>
      <c r="P14" s="1"/>
      <c r="Q14" s="20"/>
      <c r="R14" s="1"/>
      <c r="S14" s="6"/>
      <c r="T14" s="1" t="str">
        <f t="shared" si="6"/>
        <v/>
      </c>
      <c r="V14" s="1" t="str">
        <f t="shared" si="7"/>
        <v/>
      </c>
      <c r="X14" s="1"/>
      <c r="Y14" s="3" t="str">
        <f t="shared" si="8"/>
        <v/>
      </c>
      <c r="Z14" s="19"/>
      <c r="AA14" s="1"/>
      <c r="AB14" s="7"/>
      <c r="AC14" s="1"/>
      <c r="AD14" s="6"/>
      <c r="AE14" s="1" t="str">
        <f t="shared" si="9"/>
        <v/>
      </c>
      <c r="AG14" s="1" t="str">
        <f t="shared" si="10"/>
        <v/>
      </c>
      <c r="AI14" s="1"/>
      <c r="AJ14" s="3" t="str">
        <f t="shared" si="11"/>
        <v/>
      </c>
      <c r="AK14" s="19"/>
      <c r="AL14" s="4"/>
      <c r="AM14" s="21"/>
      <c r="AN14" s="33" t="str">
        <f t="shared" si="12"/>
        <v/>
      </c>
      <c r="AO14" s="33" t="str">
        <f t="shared" si="13"/>
        <v/>
      </c>
      <c r="AP14" s="33" t="str">
        <f t="shared" si="14"/>
        <v/>
      </c>
    </row>
    <row r="15" spans="1:42">
      <c r="B15" s="1" t="str">
        <f t="shared" si="1"/>
        <v/>
      </c>
      <c r="C15" s="31"/>
      <c r="D15" s="1" t="str">
        <f t="shared" si="2"/>
        <v/>
      </c>
      <c r="E15" s="2"/>
      <c r="G15" s="1"/>
      <c r="H15" s="6"/>
      <c r="I15" s="1" t="str">
        <f t="shared" si="3"/>
        <v/>
      </c>
      <c r="K15" s="1" t="str">
        <f t="shared" si="4"/>
        <v/>
      </c>
      <c r="M15" s="1"/>
      <c r="N15" s="3" t="str">
        <f t="shared" si="5"/>
        <v/>
      </c>
      <c r="O15" s="19"/>
      <c r="P15" s="1"/>
      <c r="Q15" s="20"/>
      <c r="R15" s="1"/>
      <c r="S15" s="6"/>
      <c r="T15" s="1" t="str">
        <f t="shared" si="6"/>
        <v/>
      </c>
      <c r="V15" s="1" t="str">
        <f t="shared" si="7"/>
        <v/>
      </c>
      <c r="X15" s="1"/>
      <c r="Y15" s="3" t="str">
        <f t="shared" si="8"/>
        <v/>
      </c>
      <c r="Z15" s="19"/>
      <c r="AA15" s="1"/>
      <c r="AB15" s="7"/>
      <c r="AC15" s="1"/>
      <c r="AD15" s="6"/>
      <c r="AE15" s="1" t="str">
        <f t="shared" si="9"/>
        <v/>
      </c>
      <c r="AG15" s="1" t="str">
        <f t="shared" si="10"/>
        <v/>
      </c>
      <c r="AI15" s="1"/>
      <c r="AJ15" s="3" t="str">
        <f t="shared" si="11"/>
        <v/>
      </c>
      <c r="AK15" s="19"/>
      <c r="AL15" s="4"/>
      <c r="AM15" s="21"/>
      <c r="AN15" s="33" t="str">
        <f t="shared" si="12"/>
        <v/>
      </c>
      <c r="AO15" s="33" t="str">
        <f t="shared" si="13"/>
        <v/>
      </c>
      <c r="AP15" s="33" t="str">
        <f t="shared" si="14"/>
        <v/>
      </c>
    </row>
    <row r="16" spans="1:42">
      <c r="B16" s="1" t="str">
        <f t="shared" si="1"/>
        <v/>
      </c>
      <c r="C16" s="31"/>
      <c r="D16" s="1" t="str">
        <f t="shared" si="2"/>
        <v/>
      </c>
      <c r="E16" s="2"/>
      <c r="G16" s="1"/>
      <c r="H16" s="6"/>
      <c r="I16" s="1" t="str">
        <f t="shared" si="3"/>
        <v/>
      </c>
      <c r="K16" s="1" t="str">
        <f t="shared" si="4"/>
        <v/>
      </c>
      <c r="M16" s="1"/>
      <c r="N16" s="3" t="str">
        <f t="shared" si="5"/>
        <v/>
      </c>
      <c r="O16" s="19"/>
      <c r="P16" s="1"/>
      <c r="Q16" s="20"/>
      <c r="R16" s="1"/>
      <c r="S16" s="6"/>
      <c r="T16" s="1" t="str">
        <f t="shared" si="6"/>
        <v/>
      </c>
      <c r="V16" s="1" t="str">
        <f t="shared" si="7"/>
        <v/>
      </c>
      <c r="X16" s="1"/>
      <c r="Y16" s="3" t="str">
        <f t="shared" si="8"/>
        <v/>
      </c>
      <c r="Z16" s="19"/>
      <c r="AA16" s="1"/>
      <c r="AB16" s="7"/>
      <c r="AC16" s="1"/>
      <c r="AD16" s="6"/>
      <c r="AE16" s="1" t="str">
        <f t="shared" si="9"/>
        <v/>
      </c>
      <c r="AG16" s="1" t="str">
        <f t="shared" si="10"/>
        <v/>
      </c>
      <c r="AI16" s="1"/>
      <c r="AJ16" s="3" t="str">
        <f t="shared" si="11"/>
        <v/>
      </c>
      <c r="AK16" s="19"/>
      <c r="AL16" s="4"/>
      <c r="AM16" s="21"/>
      <c r="AN16" s="33" t="str">
        <f t="shared" si="12"/>
        <v/>
      </c>
      <c r="AO16" s="33" t="str">
        <f t="shared" si="13"/>
        <v/>
      </c>
      <c r="AP16" s="33" t="str">
        <f t="shared" si="14"/>
        <v/>
      </c>
    </row>
    <row r="17" spans="2:42">
      <c r="B17" s="1" t="str">
        <f t="shared" si="1"/>
        <v/>
      </c>
      <c r="C17" s="31"/>
      <c r="D17" s="1" t="str">
        <f t="shared" si="2"/>
        <v/>
      </c>
      <c r="E17" s="2"/>
      <c r="G17" s="1"/>
      <c r="H17" s="6"/>
      <c r="I17" s="1" t="str">
        <f t="shared" si="3"/>
        <v/>
      </c>
      <c r="K17" s="1" t="str">
        <f t="shared" si="4"/>
        <v/>
      </c>
      <c r="M17" s="1"/>
      <c r="N17" s="3" t="str">
        <f t="shared" si="5"/>
        <v/>
      </c>
      <c r="O17" s="19"/>
      <c r="P17" s="1"/>
      <c r="Q17" s="20"/>
      <c r="R17" s="1"/>
      <c r="S17" s="6"/>
      <c r="T17" s="1" t="str">
        <f t="shared" si="6"/>
        <v/>
      </c>
      <c r="V17" s="1" t="str">
        <f t="shared" si="7"/>
        <v/>
      </c>
      <c r="X17" s="1"/>
      <c r="Y17" s="3" t="str">
        <f t="shared" si="8"/>
        <v/>
      </c>
      <c r="Z17" s="19"/>
      <c r="AA17" s="1"/>
      <c r="AB17" s="7"/>
      <c r="AC17" s="1"/>
      <c r="AD17" s="6"/>
      <c r="AE17" s="1" t="str">
        <f t="shared" si="9"/>
        <v/>
      </c>
      <c r="AG17" s="1" t="str">
        <f t="shared" si="10"/>
        <v/>
      </c>
      <c r="AI17" s="1"/>
      <c r="AJ17" s="3" t="str">
        <f t="shared" si="11"/>
        <v/>
      </c>
      <c r="AK17" s="19"/>
      <c r="AL17" s="4"/>
      <c r="AM17" s="21"/>
      <c r="AN17" s="33" t="str">
        <f t="shared" si="12"/>
        <v/>
      </c>
      <c r="AO17" s="33" t="str">
        <f t="shared" si="13"/>
        <v/>
      </c>
      <c r="AP17" s="33" t="str">
        <f t="shared" si="14"/>
        <v/>
      </c>
    </row>
    <row r="18" spans="2:42">
      <c r="B18" s="1" t="str">
        <f t="shared" si="1"/>
        <v/>
      </c>
      <c r="C18" s="31"/>
      <c r="D18" s="1" t="str">
        <f t="shared" si="2"/>
        <v/>
      </c>
      <c r="E18" s="2"/>
      <c r="G18" s="1"/>
      <c r="H18" s="6"/>
      <c r="I18" s="1" t="str">
        <f t="shared" si="3"/>
        <v/>
      </c>
      <c r="K18" s="1" t="str">
        <f t="shared" si="4"/>
        <v/>
      </c>
      <c r="M18" s="1"/>
      <c r="N18" s="3" t="str">
        <f t="shared" si="5"/>
        <v/>
      </c>
      <c r="O18" s="19"/>
      <c r="P18" s="1"/>
      <c r="Q18" s="20"/>
      <c r="R18" s="1"/>
      <c r="S18" s="6"/>
      <c r="T18" s="1" t="str">
        <f t="shared" si="6"/>
        <v/>
      </c>
      <c r="V18" s="1" t="str">
        <f t="shared" si="7"/>
        <v/>
      </c>
      <c r="X18" s="1"/>
      <c r="Y18" s="3" t="str">
        <f t="shared" si="8"/>
        <v/>
      </c>
      <c r="Z18" s="19"/>
      <c r="AA18" s="1"/>
      <c r="AB18" s="7"/>
      <c r="AC18" s="1"/>
      <c r="AD18" s="6"/>
      <c r="AE18" s="1" t="str">
        <f t="shared" si="9"/>
        <v/>
      </c>
      <c r="AG18" s="1" t="str">
        <f t="shared" si="10"/>
        <v/>
      </c>
      <c r="AI18" s="1"/>
      <c r="AJ18" s="3" t="str">
        <f t="shared" si="11"/>
        <v/>
      </c>
      <c r="AK18" s="19"/>
      <c r="AL18" s="4"/>
      <c r="AM18" s="21"/>
      <c r="AN18" s="33" t="str">
        <f t="shared" si="12"/>
        <v/>
      </c>
      <c r="AO18" s="33" t="str">
        <f t="shared" si="13"/>
        <v/>
      </c>
      <c r="AP18" s="33" t="str">
        <f t="shared" si="14"/>
        <v/>
      </c>
    </row>
    <row r="19" spans="2:42">
      <c r="B19" s="1" t="str">
        <f t="shared" si="1"/>
        <v/>
      </c>
      <c r="C19" s="31"/>
      <c r="D19" s="1" t="str">
        <f t="shared" si="2"/>
        <v/>
      </c>
      <c r="E19" s="2"/>
      <c r="G19" s="1"/>
      <c r="H19" s="6"/>
      <c r="I19" s="1" t="str">
        <f t="shared" si="3"/>
        <v/>
      </c>
      <c r="K19" s="1" t="str">
        <f t="shared" si="4"/>
        <v/>
      </c>
      <c r="M19" s="1"/>
      <c r="N19" s="3" t="str">
        <f t="shared" si="5"/>
        <v/>
      </c>
      <c r="O19" s="19"/>
      <c r="P19" s="1"/>
      <c r="Q19" s="20"/>
      <c r="R19" s="1"/>
      <c r="S19" s="6"/>
      <c r="T19" s="1" t="str">
        <f t="shared" si="6"/>
        <v/>
      </c>
      <c r="V19" s="1" t="str">
        <f t="shared" si="7"/>
        <v/>
      </c>
      <c r="X19" s="1"/>
      <c r="Y19" s="3" t="str">
        <f t="shared" si="8"/>
        <v/>
      </c>
      <c r="Z19" s="19"/>
      <c r="AA19" s="1"/>
      <c r="AB19" s="7"/>
      <c r="AC19" s="1"/>
      <c r="AD19" s="6"/>
      <c r="AE19" s="1" t="str">
        <f t="shared" si="9"/>
        <v/>
      </c>
      <c r="AG19" s="1" t="str">
        <f t="shared" si="10"/>
        <v/>
      </c>
      <c r="AI19" s="1"/>
      <c r="AJ19" s="3" t="str">
        <f t="shared" si="11"/>
        <v/>
      </c>
      <c r="AK19" s="19"/>
      <c r="AL19" s="4"/>
      <c r="AM19" s="21"/>
      <c r="AN19" s="33" t="str">
        <f t="shared" si="12"/>
        <v/>
      </c>
      <c r="AO19" s="33" t="str">
        <f t="shared" si="13"/>
        <v/>
      </c>
      <c r="AP19" s="33" t="str">
        <f t="shared" si="14"/>
        <v/>
      </c>
    </row>
    <row r="20" spans="2:42">
      <c r="B20" s="1" t="str">
        <f t="shared" si="1"/>
        <v/>
      </c>
      <c r="C20" s="31"/>
      <c r="D20" s="1" t="str">
        <f t="shared" si="2"/>
        <v/>
      </c>
      <c r="E20" s="2"/>
      <c r="G20" s="1"/>
      <c r="H20" s="6"/>
      <c r="I20" s="1" t="str">
        <f t="shared" si="3"/>
        <v/>
      </c>
      <c r="K20" s="1" t="str">
        <f t="shared" si="4"/>
        <v/>
      </c>
      <c r="M20" s="1"/>
      <c r="N20" s="3" t="str">
        <f t="shared" si="5"/>
        <v/>
      </c>
      <c r="O20" s="19"/>
      <c r="P20" s="1"/>
      <c r="Q20" s="20"/>
      <c r="R20" s="1"/>
      <c r="S20" s="6"/>
      <c r="T20" s="1" t="str">
        <f t="shared" si="6"/>
        <v/>
      </c>
      <c r="V20" s="1" t="str">
        <f t="shared" si="7"/>
        <v/>
      </c>
      <c r="X20" s="1"/>
      <c r="Y20" s="3" t="str">
        <f t="shared" si="8"/>
        <v/>
      </c>
      <c r="Z20" s="19"/>
      <c r="AA20" s="1"/>
      <c r="AB20" s="7"/>
      <c r="AC20" s="1"/>
      <c r="AD20" s="6"/>
      <c r="AE20" s="1" t="str">
        <f t="shared" si="9"/>
        <v/>
      </c>
      <c r="AG20" s="1" t="str">
        <f t="shared" si="10"/>
        <v/>
      </c>
      <c r="AI20" s="1"/>
      <c r="AJ20" s="3" t="str">
        <f t="shared" si="11"/>
        <v/>
      </c>
      <c r="AK20" s="19"/>
      <c r="AL20" s="4"/>
      <c r="AM20" s="21"/>
      <c r="AN20" s="33" t="str">
        <f t="shared" si="12"/>
        <v/>
      </c>
      <c r="AO20" s="33" t="str">
        <f t="shared" si="13"/>
        <v/>
      </c>
      <c r="AP20" s="33" t="str">
        <f t="shared" si="14"/>
        <v/>
      </c>
    </row>
    <row r="21" spans="2:42">
      <c r="B21" s="1" t="str">
        <f t="shared" si="1"/>
        <v/>
      </c>
      <c r="C21" s="31"/>
      <c r="D21" s="1" t="str">
        <f t="shared" si="2"/>
        <v/>
      </c>
      <c r="E21" s="2"/>
      <c r="G21" s="1"/>
      <c r="H21" s="6"/>
      <c r="I21" s="1" t="str">
        <f t="shared" si="3"/>
        <v/>
      </c>
      <c r="K21" s="1" t="str">
        <f t="shared" si="4"/>
        <v/>
      </c>
      <c r="M21" s="1"/>
      <c r="N21" s="3" t="str">
        <f t="shared" si="5"/>
        <v/>
      </c>
      <c r="O21" s="19"/>
      <c r="P21" s="1"/>
      <c r="Q21" s="20"/>
      <c r="R21" s="1"/>
      <c r="S21" s="6"/>
      <c r="T21" s="1" t="str">
        <f t="shared" si="6"/>
        <v/>
      </c>
      <c r="V21" s="1" t="str">
        <f t="shared" si="7"/>
        <v/>
      </c>
      <c r="X21" s="1"/>
      <c r="Y21" s="3" t="str">
        <f t="shared" si="8"/>
        <v/>
      </c>
      <c r="Z21" s="19"/>
      <c r="AA21" s="1"/>
      <c r="AB21" s="7"/>
      <c r="AC21" s="1"/>
      <c r="AD21" s="6"/>
      <c r="AE21" s="1" t="str">
        <f t="shared" si="9"/>
        <v/>
      </c>
      <c r="AG21" s="1" t="str">
        <f t="shared" si="10"/>
        <v/>
      </c>
      <c r="AI21" s="1"/>
      <c r="AJ21" s="3" t="str">
        <f t="shared" si="11"/>
        <v/>
      </c>
      <c r="AK21" s="19"/>
      <c r="AL21" s="4"/>
      <c r="AM21" s="21"/>
      <c r="AN21" s="33" t="str">
        <f t="shared" si="12"/>
        <v/>
      </c>
      <c r="AO21" s="33" t="str">
        <f t="shared" si="13"/>
        <v/>
      </c>
      <c r="AP21" s="33" t="str">
        <f t="shared" si="14"/>
        <v/>
      </c>
    </row>
    <row r="22" spans="2:42">
      <c r="B22" s="1" t="str">
        <f t="shared" si="1"/>
        <v/>
      </c>
      <c r="C22" s="31"/>
      <c r="D22" s="1" t="str">
        <f t="shared" si="2"/>
        <v/>
      </c>
      <c r="E22" s="2"/>
      <c r="G22" s="1"/>
      <c r="H22" s="6"/>
      <c r="I22" s="1" t="str">
        <f t="shared" si="3"/>
        <v/>
      </c>
      <c r="K22" s="1" t="str">
        <f t="shared" si="4"/>
        <v/>
      </c>
      <c r="M22" s="1"/>
      <c r="N22" s="3" t="str">
        <f t="shared" si="5"/>
        <v/>
      </c>
      <c r="O22" s="19"/>
      <c r="P22" s="1"/>
      <c r="Q22" s="20"/>
      <c r="R22" s="1"/>
      <c r="S22" s="6"/>
      <c r="T22" s="1" t="str">
        <f t="shared" si="6"/>
        <v/>
      </c>
      <c r="V22" s="1" t="str">
        <f t="shared" si="7"/>
        <v/>
      </c>
      <c r="X22" s="1"/>
      <c r="Y22" s="3" t="str">
        <f t="shared" si="8"/>
        <v/>
      </c>
      <c r="Z22" s="19"/>
      <c r="AA22" s="1"/>
      <c r="AB22" s="7"/>
      <c r="AC22" s="1"/>
      <c r="AD22" s="6"/>
      <c r="AE22" s="1" t="str">
        <f t="shared" si="9"/>
        <v/>
      </c>
      <c r="AG22" s="1" t="str">
        <f t="shared" si="10"/>
        <v/>
      </c>
      <c r="AI22" s="1"/>
      <c r="AJ22" s="3" t="str">
        <f t="shared" si="11"/>
        <v/>
      </c>
      <c r="AK22" s="19"/>
      <c r="AL22" s="4"/>
      <c r="AM22" s="21"/>
      <c r="AN22" s="33" t="str">
        <f t="shared" si="12"/>
        <v/>
      </c>
      <c r="AO22" s="33" t="str">
        <f t="shared" si="13"/>
        <v/>
      </c>
      <c r="AP22" s="33" t="str">
        <f t="shared" si="14"/>
        <v/>
      </c>
    </row>
    <row r="23" spans="2:42">
      <c r="B23" s="1" t="str">
        <f t="shared" si="1"/>
        <v/>
      </c>
      <c r="C23" s="31"/>
      <c r="D23" s="1" t="str">
        <f t="shared" si="2"/>
        <v/>
      </c>
      <c r="E23" s="2"/>
      <c r="G23" s="1"/>
      <c r="H23" s="6"/>
      <c r="I23" s="1" t="str">
        <f t="shared" si="3"/>
        <v/>
      </c>
      <c r="K23" s="1" t="str">
        <f t="shared" si="4"/>
        <v/>
      </c>
      <c r="M23" s="1"/>
      <c r="N23" s="3" t="str">
        <f t="shared" si="5"/>
        <v/>
      </c>
      <c r="O23" s="19"/>
      <c r="P23" s="1"/>
      <c r="Q23" s="20"/>
      <c r="R23" s="1"/>
      <c r="S23" s="6"/>
      <c r="T23" s="1" t="str">
        <f t="shared" si="6"/>
        <v/>
      </c>
      <c r="V23" s="1" t="str">
        <f t="shared" si="7"/>
        <v/>
      </c>
      <c r="X23" s="1"/>
      <c r="Y23" s="3" t="str">
        <f t="shared" si="8"/>
        <v/>
      </c>
      <c r="Z23" s="19"/>
      <c r="AA23" s="1"/>
      <c r="AB23" s="7"/>
      <c r="AC23" s="1"/>
      <c r="AD23" s="6"/>
      <c r="AE23" s="1" t="str">
        <f t="shared" si="9"/>
        <v/>
      </c>
      <c r="AG23" s="1" t="str">
        <f t="shared" si="10"/>
        <v/>
      </c>
      <c r="AI23" s="1"/>
      <c r="AJ23" s="3" t="str">
        <f t="shared" si="11"/>
        <v/>
      </c>
      <c r="AK23" s="19"/>
      <c r="AL23" s="4"/>
      <c r="AM23" s="21"/>
      <c r="AN23" s="33" t="str">
        <f t="shared" si="12"/>
        <v/>
      </c>
      <c r="AO23" s="33" t="str">
        <f t="shared" si="13"/>
        <v/>
      </c>
      <c r="AP23" s="33" t="str">
        <f t="shared" si="14"/>
        <v/>
      </c>
    </row>
    <row r="24" spans="2:42">
      <c r="B24" s="1" t="str">
        <f t="shared" si="1"/>
        <v/>
      </c>
      <c r="C24" s="31"/>
      <c r="D24" s="1" t="str">
        <f t="shared" si="2"/>
        <v/>
      </c>
      <c r="E24" s="2"/>
      <c r="G24" s="1"/>
      <c r="H24" s="6"/>
      <c r="I24" s="1" t="str">
        <f t="shared" si="3"/>
        <v/>
      </c>
      <c r="K24" s="1" t="str">
        <f t="shared" si="4"/>
        <v/>
      </c>
      <c r="M24" s="1"/>
      <c r="N24" s="3" t="str">
        <f t="shared" si="5"/>
        <v/>
      </c>
      <c r="O24" s="19"/>
      <c r="P24" s="1"/>
      <c r="Q24" s="20"/>
      <c r="R24" s="1"/>
      <c r="S24" s="6"/>
      <c r="T24" s="1" t="str">
        <f t="shared" si="6"/>
        <v/>
      </c>
      <c r="V24" s="1" t="str">
        <f t="shared" si="7"/>
        <v/>
      </c>
      <c r="X24" s="1"/>
      <c r="Y24" s="3" t="str">
        <f t="shared" si="8"/>
        <v/>
      </c>
      <c r="Z24" s="19"/>
      <c r="AA24" s="1"/>
      <c r="AB24" s="7"/>
      <c r="AC24" s="1"/>
      <c r="AD24" s="6"/>
      <c r="AE24" s="1" t="str">
        <f t="shared" si="9"/>
        <v/>
      </c>
      <c r="AG24" s="1" t="str">
        <f t="shared" si="10"/>
        <v/>
      </c>
      <c r="AI24" s="1"/>
      <c r="AJ24" s="3" t="str">
        <f t="shared" si="11"/>
        <v/>
      </c>
      <c r="AK24" s="19"/>
      <c r="AL24" s="4"/>
      <c r="AM24" s="21"/>
      <c r="AN24" s="33" t="str">
        <f t="shared" si="12"/>
        <v/>
      </c>
      <c r="AO24" s="33" t="str">
        <f t="shared" si="13"/>
        <v/>
      </c>
      <c r="AP24" s="33" t="str">
        <f t="shared" si="14"/>
        <v/>
      </c>
    </row>
    <row r="25" spans="2:42">
      <c r="B25" s="1" t="str">
        <f t="shared" si="1"/>
        <v/>
      </c>
      <c r="C25" s="31"/>
      <c r="D25" s="1" t="str">
        <f t="shared" si="2"/>
        <v/>
      </c>
      <c r="E25" s="2"/>
      <c r="G25" s="1"/>
      <c r="H25" s="6"/>
      <c r="I25" s="1" t="str">
        <f t="shared" si="3"/>
        <v/>
      </c>
      <c r="K25" s="1" t="str">
        <f t="shared" si="4"/>
        <v/>
      </c>
      <c r="M25" s="1"/>
      <c r="N25" s="3" t="str">
        <f t="shared" si="5"/>
        <v/>
      </c>
      <c r="O25" s="19"/>
      <c r="P25" s="1"/>
      <c r="Q25" s="20"/>
      <c r="R25" s="1"/>
      <c r="S25" s="6"/>
      <c r="T25" s="1" t="str">
        <f t="shared" si="6"/>
        <v/>
      </c>
      <c r="V25" s="1" t="str">
        <f t="shared" si="7"/>
        <v/>
      </c>
      <c r="X25" s="1"/>
      <c r="Y25" s="3" t="str">
        <f t="shared" si="8"/>
        <v/>
      </c>
      <c r="Z25" s="19"/>
      <c r="AA25" s="1"/>
      <c r="AB25" s="7"/>
      <c r="AC25" s="1"/>
      <c r="AD25" s="6"/>
      <c r="AE25" s="1" t="str">
        <f t="shared" si="9"/>
        <v/>
      </c>
      <c r="AG25" s="1" t="str">
        <f t="shared" si="10"/>
        <v/>
      </c>
      <c r="AI25" s="1"/>
      <c r="AJ25" s="3" t="str">
        <f t="shared" si="11"/>
        <v/>
      </c>
      <c r="AK25" s="19"/>
      <c r="AL25" s="4"/>
      <c r="AM25" s="21"/>
      <c r="AN25" s="33" t="str">
        <f t="shared" si="12"/>
        <v/>
      </c>
      <c r="AO25" s="33" t="str">
        <f t="shared" si="13"/>
        <v/>
      </c>
      <c r="AP25" s="33" t="str">
        <f t="shared" si="14"/>
        <v/>
      </c>
    </row>
    <row r="26" spans="2:42">
      <c r="B26" s="1" t="str">
        <f t="shared" si="1"/>
        <v/>
      </c>
      <c r="C26" s="31"/>
      <c r="D26" s="1" t="str">
        <f t="shared" si="2"/>
        <v/>
      </c>
      <c r="E26" s="2"/>
      <c r="G26" s="1"/>
      <c r="H26" s="6"/>
      <c r="I26" s="1" t="str">
        <f t="shared" si="3"/>
        <v/>
      </c>
      <c r="K26" s="1" t="str">
        <f t="shared" si="4"/>
        <v/>
      </c>
      <c r="M26" s="1"/>
      <c r="N26" s="3" t="str">
        <f t="shared" si="5"/>
        <v/>
      </c>
      <c r="O26" s="19"/>
      <c r="P26" s="1"/>
      <c r="Q26" s="20"/>
      <c r="R26" s="1"/>
      <c r="S26" s="6"/>
      <c r="T26" s="1" t="str">
        <f t="shared" si="6"/>
        <v/>
      </c>
      <c r="V26" s="1" t="str">
        <f t="shared" si="7"/>
        <v/>
      </c>
      <c r="X26" s="1"/>
      <c r="Y26" s="3" t="str">
        <f t="shared" si="8"/>
        <v/>
      </c>
      <c r="Z26" s="19"/>
      <c r="AA26" s="1"/>
      <c r="AB26" s="7"/>
      <c r="AC26" s="1"/>
      <c r="AD26" s="6"/>
      <c r="AE26" s="1" t="str">
        <f t="shared" si="9"/>
        <v/>
      </c>
      <c r="AG26" s="1" t="str">
        <f t="shared" si="10"/>
        <v/>
      </c>
      <c r="AI26" s="1"/>
      <c r="AJ26" s="3" t="str">
        <f t="shared" si="11"/>
        <v/>
      </c>
      <c r="AK26" s="19"/>
      <c r="AL26" s="4"/>
      <c r="AM26" s="21"/>
      <c r="AN26" s="33" t="str">
        <f t="shared" si="12"/>
        <v/>
      </c>
      <c r="AO26" s="33" t="str">
        <f t="shared" si="13"/>
        <v/>
      </c>
      <c r="AP26" s="33" t="str">
        <f t="shared" si="14"/>
        <v/>
      </c>
    </row>
    <row r="27" spans="2:42">
      <c r="B27" s="1" t="str">
        <f t="shared" si="1"/>
        <v/>
      </c>
      <c r="C27" s="31"/>
      <c r="D27" s="1" t="str">
        <f t="shared" si="2"/>
        <v/>
      </c>
      <c r="E27" s="2"/>
      <c r="G27" s="1"/>
      <c r="H27" s="6"/>
      <c r="I27" s="1" t="str">
        <f t="shared" si="3"/>
        <v/>
      </c>
      <c r="K27" s="1" t="str">
        <f t="shared" si="4"/>
        <v/>
      </c>
      <c r="M27" s="1"/>
      <c r="N27" s="3" t="str">
        <f t="shared" si="5"/>
        <v/>
      </c>
      <c r="O27" s="19"/>
      <c r="P27" s="1"/>
      <c r="Q27" s="20"/>
      <c r="R27" s="1"/>
      <c r="S27" s="6"/>
      <c r="T27" s="1" t="str">
        <f t="shared" si="6"/>
        <v/>
      </c>
      <c r="V27" s="1" t="str">
        <f t="shared" si="7"/>
        <v/>
      </c>
      <c r="X27" s="1"/>
      <c r="Y27" s="3" t="str">
        <f t="shared" si="8"/>
        <v/>
      </c>
      <c r="Z27" s="19"/>
      <c r="AA27" s="1"/>
      <c r="AB27" s="7"/>
      <c r="AC27" s="1"/>
      <c r="AD27" s="6"/>
      <c r="AE27" s="1" t="str">
        <f t="shared" si="9"/>
        <v/>
      </c>
      <c r="AG27" s="1" t="str">
        <f t="shared" si="10"/>
        <v/>
      </c>
      <c r="AI27" s="1"/>
      <c r="AJ27" s="3" t="str">
        <f t="shared" si="11"/>
        <v/>
      </c>
      <c r="AK27" s="19"/>
      <c r="AL27" s="4"/>
      <c r="AM27" s="21"/>
      <c r="AN27" s="33" t="str">
        <f t="shared" si="12"/>
        <v/>
      </c>
      <c r="AO27" s="33" t="str">
        <f t="shared" si="13"/>
        <v/>
      </c>
      <c r="AP27" s="33" t="str">
        <f t="shared" si="14"/>
        <v/>
      </c>
    </row>
    <row r="29" spans="2:42"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1"/>
      <c r="AE29"/>
      <c r="AF29"/>
      <c r="AG29"/>
      <c r="AH29"/>
      <c r="AI29"/>
      <c r="AJ29"/>
    </row>
    <row r="30" spans="2:42"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4"/>
      <c r="AE30"/>
      <c r="AF30"/>
      <c r="AG30"/>
      <c r="AH30"/>
      <c r="AI30"/>
      <c r="AJ30"/>
      <c r="AK30" s="22"/>
      <c r="AL30" s="37" t="s">
        <v>4</v>
      </c>
      <c r="AM30" s="38"/>
    </row>
    <row r="31" spans="2:42"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4"/>
      <c r="AE31"/>
      <c r="AF31"/>
      <c r="AG31"/>
      <c r="AH31"/>
      <c r="AI31"/>
      <c r="AJ31"/>
      <c r="AK31" s="23" t="s">
        <v>1</v>
      </c>
      <c r="AL31" s="52" cm="1">
        <f t="array" ref="AL31">SUMPRODUCT(H6:H27, J6:J27, IF(L6:L27&lt;1, 1, L6:L27))</f>
        <v>0</v>
      </c>
      <c r="AM31" s="53"/>
    </row>
    <row r="32" spans="2:42"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4"/>
      <c r="AE32"/>
      <c r="AF32"/>
      <c r="AG32"/>
      <c r="AH32"/>
      <c r="AI32"/>
      <c r="AJ32"/>
      <c r="AK32" s="24" t="s">
        <v>2</v>
      </c>
      <c r="AL32" s="52" cm="1">
        <f t="array" ref="AL32">SUMPRODUCT(S6:S27, U6:U27, IF(W6:W27&lt;1, 1, W6:W27))</f>
        <v>0</v>
      </c>
      <c r="AM32" s="53"/>
    </row>
    <row r="33" spans="2:39"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4"/>
      <c r="AE33"/>
      <c r="AF33"/>
      <c r="AG33"/>
      <c r="AH33"/>
      <c r="AI33"/>
      <c r="AJ33"/>
      <c r="AK33" s="25" t="s">
        <v>3</v>
      </c>
      <c r="AL33" s="37" cm="1">
        <f t="array" ref="AL33">SUMPRODUCT(AD6:AD27, AF6:AF27, IF(AH6:AH27&lt;1, 1, AH6:AH27))</f>
        <v>0</v>
      </c>
      <c r="AM33" s="38"/>
    </row>
    <row r="34" spans="2:39">
      <c r="B34" s="45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7"/>
      <c r="AE34"/>
      <c r="AF34"/>
      <c r="AG34"/>
      <c r="AH34"/>
      <c r="AI34"/>
      <c r="AJ34"/>
      <c r="AL34" s="26"/>
    </row>
  </sheetData>
  <sheetProtection formatCells="0" formatColumns="0" formatRows="0" insertColumns="0" insertRows="0" deleteColumns="0" deleteRows="0" autoFilter="0"/>
  <mergeCells count="13">
    <mergeCell ref="AN4:AP4"/>
    <mergeCell ref="AL33:AM33"/>
    <mergeCell ref="B29:AD34"/>
    <mergeCell ref="C2:L3"/>
    <mergeCell ref="O2:Q3"/>
    <mergeCell ref="AL30:AM30"/>
    <mergeCell ref="AL31:AM31"/>
    <mergeCell ref="AL32:AM32"/>
    <mergeCell ref="R2:X3"/>
    <mergeCell ref="AB2:AE3"/>
    <mergeCell ref="M2:M3"/>
    <mergeCell ref="AF2:AM3"/>
    <mergeCell ref="Y2:Z3"/>
  </mergeCells>
  <phoneticPr fontId="1"/>
  <conditionalFormatting sqref="L6:L27">
    <cfRule type="cellIs" dxfId="2" priority="8" operator="equal">
      <formula>1</formula>
    </cfRule>
  </conditionalFormatting>
  <conditionalFormatting sqref="W6:W27">
    <cfRule type="cellIs" dxfId="1" priority="2" operator="equal">
      <formula>1</formula>
    </cfRule>
  </conditionalFormatting>
  <conditionalFormatting sqref="AH6:AH27">
    <cfRule type="cellIs" dxfId="0" priority="1" operator="equal">
      <formula>1</formula>
    </cfRule>
  </conditionalFormatting>
  <dataValidations count="1">
    <dataValidation showInputMessage="1" showErrorMessage="1" sqref="B6:B27" xr:uid="{739CE0B4-D4FF-8840-8205-9F1A91797F66}"/>
  </dataValidations>
  <printOptions horizontalCentered="1" verticalCentered="1"/>
  <pageMargins left="0.25" right="0.25" top="0.75" bottom="0.75" header="0.3" footer="0.3"/>
  <pageSetup paperSize="9" scale="69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xr:uid="{7831B5B5-42E7-174F-B400-746F054ADF93}">
          <x14:formula1>
            <xm:f>xx!$B$2:$B$8</xm:f>
          </x14:formula1>
          <xm:sqref>AB2:AE3</xm:sqref>
        </x14:dataValidation>
        <x14:dataValidation type="list" allowBlank="1" showInputMessage="1" xr:uid="{4BCF2579-134B-CF48-ABB8-2282A03C8811}">
          <x14:formula1>
            <xm:f>xx!$F$2:$F$9</xm:f>
          </x14:formula1>
          <xm:sqref>A6:A27</xm:sqref>
        </x14:dataValidation>
        <x14:dataValidation type="list" allowBlank="1" showInputMessage="1" xr:uid="{A69AB7F0-5AD2-E14B-A629-34EB1EF16F19}">
          <x14:formula1>
            <xm:f>xx!$E$2:$E$22</xm:f>
          </x14:formula1>
          <xm:sqref>C2:L3</xm:sqref>
        </x14:dataValidation>
        <x14:dataValidation type="list" allowBlank="1" showInputMessage="1" xr:uid="{3090C7ED-110F-B645-9FC4-1D016C42CAAB}">
          <x14:formula1>
            <xm:f>xx!$H$2:$H$6</xm:f>
          </x14:formula1>
          <xm:sqref>AD6:AD27 S6:S27 H6:H27</xm:sqref>
        </x14:dataValidation>
        <x14:dataValidation type="list" allowBlank="1" showInputMessage="1" xr:uid="{73C798AD-84F1-F94C-8BA8-335C64D745D2}">
          <x14:formula1>
            <xm:f>xx!$I$2:$I$11</xm:f>
          </x14:formula1>
          <xm:sqref>AF6:AF27 U6:U27 J6:J27</xm:sqref>
        </x14:dataValidation>
        <x14:dataValidation type="list" errorStyle="warning" allowBlank="1" errorTitle="エラー" error="1 set の場合、入力不要です" xr:uid="{9DA70438-52BF-8F44-8712-6BFA0D073FA8}">
          <x14:formula1>
            <xm:f>xx!$I$3:$I$7</xm:f>
          </x14:formula1>
          <xm:sqref>AH6:AH27 W6:W27 L6:L27</xm:sqref>
        </x14:dataValidation>
        <x14:dataValidation type="list" allowBlank="1" showInputMessage="1" xr:uid="{9FA897A3-F53B-6745-80F3-055975D5EC42}">
          <x14:formula1>
            <xm:f>xx!$G$2:$G$4</xm:f>
          </x14:formula1>
          <xm:sqref>F6:F27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5205-1544-7A44-871C-98021F0F01A6}">
  <dimension ref="B1:I27"/>
  <sheetViews>
    <sheetView topLeftCell="C1" workbookViewId="0">
      <selection activeCell="G5" sqref="G5"/>
    </sheetView>
  </sheetViews>
  <sheetFormatPr baseColWidth="10" defaultRowHeight="20"/>
  <cols>
    <col min="1" max="4" width="10.7109375" style="5"/>
    <col min="5" max="5" width="16.140625" style="5" customWidth="1"/>
    <col min="6" max="16384" width="10.7109375" style="5"/>
  </cols>
  <sheetData>
    <row r="1" spans="2:9" s="35" customFormat="1"/>
    <row r="2" spans="2:9">
      <c r="B2" s="5" t="s">
        <v>7</v>
      </c>
      <c r="C2" s="5" t="s">
        <v>15</v>
      </c>
      <c r="D2" s="5" t="s">
        <v>0</v>
      </c>
      <c r="E2" s="27">
        <f ca="1">TODAY()</f>
        <v>45919</v>
      </c>
      <c r="F2" s="5" t="s">
        <v>22</v>
      </c>
      <c r="G2" s="5" t="s">
        <v>31</v>
      </c>
      <c r="H2" s="5">
        <v>25</v>
      </c>
      <c r="I2" s="5">
        <v>1</v>
      </c>
    </row>
    <row r="3" spans="2:9">
      <c r="B3" s="5" t="s">
        <v>9</v>
      </c>
      <c r="C3" s="5" t="s">
        <v>34</v>
      </c>
      <c r="D3" s="5" t="s">
        <v>25</v>
      </c>
      <c r="E3" s="27">
        <f t="shared" ref="E3:E22" ca="1" si="0">E2+1</f>
        <v>45920</v>
      </c>
      <c r="F3" s="5" t="s">
        <v>21</v>
      </c>
      <c r="G3" s="34" t="s">
        <v>35</v>
      </c>
      <c r="H3" s="5">
        <v>50</v>
      </c>
      <c r="I3" s="5">
        <v>2</v>
      </c>
    </row>
    <row r="4" spans="2:9">
      <c r="B4" s="5" t="s">
        <v>16</v>
      </c>
      <c r="C4" s="5" t="s">
        <v>10</v>
      </c>
      <c r="D4" s="5" t="s">
        <v>0</v>
      </c>
      <c r="E4" s="27">
        <f t="shared" ca="1" si="0"/>
        <v>45921</v>
      </c>
      <c r="F4" s="5" t="s">
        <v>20</v>
      </c>
      <c r="G4" s="5" t="s">
        <v>32</v>
      </c>
      <c r="H4" s="5">
        <v>100</v>
      </c>
      <c r="I4" s="5">
        <v>3</v>
      </c>
    </row>
    <row r="5" spans="2:9">
      <c r="B5" s="5" t="s">
        <v>24</v>
      </c>
      <c r="C5" s="5" t="s">
        <v>26</v>
      </c>
      <c r="D5" s="5" t="s">
        <v>0</v>
      </c>
      <c r="E5" s="27">
        <f t="shared" ca="1" si="0"/>
        <v>45922</v>
      </c>
      <c r="F5" s="5" t="s">
        <v>19</v>
      </c>
      <c r="H5" s="5">
        <v>200</v>
      </c>
      <c r="I5" s="5">
        <v>4</v>
      </c>
    </row>
    <row r="6" spans="2:9">
      <c r="B6" s="5" t="s">
        <v>27</v>
      </c>
      <c r="C6" s="5" t="s">
        <v>33</v>
      </c>
      <c r="D6" s="5" t="s">
        <v>0</v>
      </c>
      <c r="E6" s="27">
        <f t="shared" ca="1" si="0"/>
        <v>45923</v>
      </c>
      <c r="F6" s="5" t="s">
        <v>18</v>
      </c>
      <c r="H6" s="5">
        <v>400</v>
      </c>
      <c r="I6" s="5">
        <v>5</v>
      </c>
    </row>
    <row r="7" spans="2:9">
      <c r="B7" s="5" t="s">
        <v>17</v>
      </c>
      <c r="C7" s="5" t="s">
        <v>11</v>
      </c>
      <c r="D7" s="5" t="s">
        <v>0</v>
      </c>
      <c r="E7" s="27">
        <f t="shared" ca="1" si="0"/>
        <v>45924</v>
      </c>
      <c r="F7" s="5" t="s">
        <v>28</v>
      </c>
      <c r="I7" s="5">
        <v>6</v>
      </c>
    </row>
    <row r="8" spans="2:9">
      <c r="B8" s="5" t="s">
        <v>6</v>
      </c>
      <c r="C8" s="5" t="s">
        <v>12</v>
      </c>
      <c r="D8" s="5" t="s">
        <v>5</v>
      </c>
      <c r="E8" s="27">
        <f t="shared" ca="1" si="0"/>
        <v>45925</v>
      </c>
      <c r="F8" s="5" t="s">
        <v>30</v>
      </c>
      <c r="I8" s="5">
        <v>7</v>
      </c>
    </row>
    <row r="9" spans="2:9">
      <c r="E9" s="27">
        <f t="shared" ca="1" si="0"/>
        <v>45926</v>
      </c>
      <c r="F9" s="5" t="s">
        <v>29</v>
      </c>
      <c r="I9" s="5">
        <v>8</v>
      </c>
    </row>
    <row r="10" spans="2:9">
      <c r="E10" s="27">
        <f t="shared" ca="1" si="0"/>
        <v>45927</v>
      </c>
      <c r="I10" s="5">
        <v>9</v>
      </c>
    </row>
    <row r="11" spans="2:9">
      <c r="E11" s="27">
        <f t="shared" ca="1" si="0"/>
        <v>45928</v>
      </c>
      <c r="I11" s="5">
        <v>10</v>
      </c>
    </row>
    <row r="12" spans="2:9">
      <c r="E12" s="27">
        <f t="shared" ca="1" si="0"/>
        <v>45929</v>
      </c>
    </row>
    <row r="13" spans="2:9">
      <c r="E13" s="27">
        <f t="shared" ca="1" si="0"/>
        <v>45930</v>
      </c>
    </row>
    <row r="14" spans="2:9">
      <c r="E14" s="27">
        <f t="shared" ca="1" si="0"/>
        <v>45931</v>
      </c>
    </row>
    <row r="15" spans="2:9">
      <c r="E15" s="27">
        <f t="shared" ca="1" si="0"/>
        <v>45932</v>
      </c>
    </row>
    <row r="16" spans="2:9">
      <c r="E16" s="27">
        <f t="shared" ca="1" si="0"/>
        <v>45933</v>
      </c>
    </row>
    <row r="17" spans="5:5">
      <c r="E17" s="27">
        <f t="shared" ca="1" si="0"/>
        <v>45934</v>
      </c>
    </row>
    <row r="18" spans="5:5">
      <c r="E18" s="27">
        <f t="shared" ca="1" si="0"/>
        <v>45935</v>
      </c>
    </row>
    <row r="19" spans="5:5">
      <c r="E19" s="27">
        <f t="shared" ca="1" si="0"/>
        <v>45936</v>
      </c>
    </row>
    <row r="20" spans="5:5">
      <c r="E20" s="27">
        <f t="shared" ca="1" si="0"/>
        <v>45937</v>
      </c>
    </row>
    <row r="21" spans="5:5">
      <c r="E21" s="27">
        <f t="shared" ca="1" si="0"/>
        <v>45938</v>
      </c>
    </row>
    <row r="22" spans="5:5">
      <c r="E22" s="27">
        <f t="shared" ca="1" si="0"/>
        <v>45939</v>
      </c>
    </row>
    <row r="23" spans="5:5">
      <c r="E23" s="27"/>
    </row>
    <row r="24" spans="5:5">
      <c r="E24" s="27"/>
    </row>
    <row r="25" spans="5:5">
      <c r="E25" s="27"/>
    </row>
    <row r="26" spans="5:5">
      <c r="E26" s="27"/>
    </row>
    <row r="27" spans="5:5">
      <c r="E27" s="27"/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テンプレート</vt:lpstr>
      <vt:lpstr>xx</vt:lpstr>
      <vt:lpstr>テンプレート!Print_Area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将大 川村</dc:creator>
  <cp:lastModifiedBy>K</cp:lastModifiedBy>
  <cp:lastPrinted>2024-12-09T08:52:09Z</cp:lastPrinted>
  <dcterms:created xsi:type="dcterms:W3CDTF">2024-05-27T08:45:21Z</dcterms:created>
  <dcterms:modified xsi:type="dcterms:W3CDTF">2025-09-19T10:07:30Z</dcterms:modified>
</cp:coreProperties>
</file>